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b6184cf05f157ab3/Documents/"/>
    </mc:Choice>
  </mc:AlternateContent>
  <xr:revisionPtr revIDLastSave="6" documentId="6_{6CD00838-4912-49D2-B5CF-CAB715A32F33}" xr6:coauthVersionLast="47" xr6:coauthVersionMax="47" xr10:uidLastSave="{25186E77-B079-41F1-8218-F93EF45C69EA}"/>
  <bookViews>
    <workbookView xWindow="-110" yWindow="-110" windowWidth="19420" windowHeight="11500" xr2:uid="{00000000-000D-0000-FFFF-FFFF00000000}"/>
  </bookViews>
  <sheets>
    <sheet name="Control" sheetId="1" r:id="rId1"/>
    <sheet name="Data" sheetId="2" r:id="rId2"/>
    <sheet name="Preview" sheetId="3" r:id="rId3"/>
  </sheets>
  <definedNames>
    <definedName name="Email_Account">Control!$C$12</definedName>
    <definedName name="MacroOption">Control!$C$10</definedName>
    <definedName name="Shared_MailBox">Control!$C$13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2" i="2" l="1"/>
  <c r="B15" i="3" s="1"/>
  <c r="B16" i="3" l="1"/>
  <c r="B4" i="3"/>
  <c r="B17" i="3"/>
  <c r="B11" i="3"/>
  <c r="B9" i="3"/>
  <c r="B13" i="3"/>
  <c r="B19" i="3"/>
  <c r="B14" i="3"/>
  <c r="B7" i="3"/>
</calcChain>
</file>

<file path=xl/sharedStrings.xml><?xml version="1.0" encoding="utf-8"?>
<sst xmlns="http://schemas.openxmlformats.org/spreadsheetml/2006/main" count="35" uniqueCount="34">
  <si>
    <t>Instructions</t>
  </si>
  <si>
    <t>1)</t>
  </si>
  <si>
    <t>Complete the table in the Data tab with the information for emails to be prepared, add a new row in the table for each individual email to be prepared.</t>
  </si>
  <si>
    <t>2)</t>
  </si>
  <si>
    <t>3)</t>
  </si>
  <si>
    <t>Choose the Macro Option in the Control section, update the Email Account or Shared Mailbox inputs as required depending on the Macro Option.</t>
  </si>
  <si>
    <t>4)</t>
  </si>
  <si>
    <t>Control</t>
  </si>
  <si>
    <t>Macro option</t>
  </si>
  <si>
    <t>Email Account</t>
  </si>
  <si>
    <t>Shared MailBox</t>
  </si>
  <si>
    <t>Email</t>
  </si>
  <si>
    <t>Processed?</t>
  </si>
  <si>
    <t>Recipient(s)</t>
  </si>
  <si>
    <t>CC</t>
  </si>
  <si>
    <t>BCC</t>
  </si>
  <si>
    <t>Subject</t>
  </si>
  <si>
    <t>Email Body</t>
  </si>
  <si>
    <t>Attachment 1 Link</t>
  </si>
  <si>
    <t>Attachment 2 Link</t>
  </si>
  <si>
    <t>Attachment 3 Link</t>
  </si>
  <si>
    <t>Attachment 4 Link</t>
  </si>
  <si>
    <t>Attachment 5 Link</t>
  </si>
  <si>
    <t xml:space="preserve"> </t>
  </si>
  <si>
    <t>To:</t>
  </si>
  <si>
    <t>CC:</t>
  </si>
  <si>
    <t>BCC:</t>
  </si>
  <si>
    <t>Subject:</t>
  </si>
  <si>
    <t>Attachments:</t>
  </si>
  <si>
    <t>Email Body:</t>
  </si>
  <si>
    <t>Individual emails can be previewed in the Preview tab by choosing the email number in cell A2 of that tab.</t>
  </si>
  <si>
    <t>N</t>
  </si>
  <si>
    <t>Send from my account</t>
  </si>
  <si>
    <t>Click the "Run Email Macro" button to run the macro. Any entries in the Data tab table that have not been processed yet (column B) will be processed.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</si>
</sst>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6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003765"/>
        <bgColor indexed="64"/>
      </patternFill>
    </fill>
    <fill>
      <patternFill patternType="solid">
        <fgColor rgb="FF66CCFF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35">
    <xf numFmtId="0" fontId="0" fillId="0" borderId="0" xfId="0"/>
    <xf numFmtId="0" fontId="4" fillId="3" borderId="0" xfId="0" applyFont="1" applyFill="1"/>
    <xf numFmtId="0" fontId="0" fillId="3" borderId="0" xfId="0" applyFill="1"/>
    <xf numFmtId="0" fontId="3" fillId="3" borderId="0" xfId="0" applyFont="1" applyFill="1"/>
    <xf numFmtId="0" fontId="0" fillId="3" borderId="1" xfId="0" applyFill="1" applyBorder="1"/>
    <xf numFmtId="0" fontId="4" fillId="4" borderId="2" xfId="0" applyFont="1" applyFill="1" applyBorder="1"/>
    <xf numFmtId="0" fontId="0" fillId="4" borderId="2" xfId="0" applyFill="1" applyBorder="1"/>
    <xf numFmtId="0" fontId="0" fillId="4" borderId="0" xfId="0" applyFill="1"/>
    <xf numFmtId="0" fontId="3" fillId="4" borderId="0" xfId="0" applyFont="1" applyFill="1"/>
    <xf numFmtId="0" fontId="3" fillId="4" borderId="0" xfId="0" applyFont="1" applyFill="1" applyBorder="1"/>
    <xf numFmtId="0" fontId="2" fillId="6" borderId="6" xfId="0" applyFont="1" applyFill="1" applyBorder="1"/>
    <xf numFmtId="0" fontId="2" fillId="6" borderId="7" xfId="0" applyFont="1" applyFill="1" applyBorder="1"/>
    <xf numFmtId="0" fontId="2" fillId="7" borderId="8" xfId="0" applyFont="1" applyFill="1" applyBorder="1"/>
    <xf numFmtId="0" fontId="2" fillId="7" borderId="6" xfId="0" applyFont="1" applyFill="1" applyBorder="1"/>
    <xf numFmtId="0" fontId="0" fillId="5" borderId="9" xfId="0" applyFill="1" applyBorder="1" applyAlignment="1">
      <alignment horizontal="left"/>
    </xf>
    <xf numFmtId="0" fontId="0" fillId="0" borderId="9" xfId="0" applyBorder="1" applyAlignment="1"/>
    <xf numFmtId="0" fontId="0" fillId="0" borderId="0" xfId="0" applyBorder="1" applyAlignment="1"/>
    <xf numFmtId="0" fontId="0" fillId="0" borderId="0" xfId="0" applyAlignment="1"/>
    <xf numFmtId="0" fontId="0" fillId="0" borderId="10" xfId="0" applyBorder="1" applyAlignment="1"/>
    <xf numFmtId="0" fontId="0" fillId="0" borderId="11" xfId="0" applyBorder="1"/>
    <xf numFmtId="0" fontId="0" fillId="0" borderId="10" xfId="0" applyBorder="1"/>
    <xf numFmtId="0" fontId="2" fillId="6" borderId="9" xfId="0" applyFont="1" applyFill="1" applyBorder="1"/>
    <xf numFmtId="0" fontId="0" fillId="5" borderId="9" xfId="0" applyFill="1" applyBorder="1" applyAlignment="1">
      <alignment horizontal="right"/>
    </xf>
    <xf numFmtId="0" fontId="2" fillId="7" borderId="9" xfId="0" applyFont="1" applyFill="1" applyBorder="1"/>
    <xf numFmtId="0" fontId="0" fillId="0" borderId="0" xfId="0" applyAlignment="1">
      <alignment horizontal="left"/>
    </xf>
    <xf numFmtId="0" fontId="5" fillId="5" borderId="3" xfId="1" applyFont="1" applyFill="1" applyBorder="1" applyAlignment="1">
      <alignment horizontal="left"/>
    </xf>
    <xf numFmtId="0" fontId="5" fillId="5" borderId="4" xfId="1" applyFont="1" applyFill="1" applyBorder="1" applyAlignment="1">
      <alignment horizontal="left"/>
    </xf>
    <xf numFmtId="0" fontId="5" fillId="5" borderId="5" xfId="1" applyFont="1" applyFill="1" applyBorder="1" applyAlignment="1">
      <alignment horizontal="left"/>
    </xf>
    <xf numFmtId="0" fontId="0" fillId="5" borderId="3" xfId="0" applyFill="1" applyBorder="1" applyAlignment="1">
      <alignment horizontal="left"/>
    </xf>
    <xf numFmtId="0" fontId="0" fillId="5" borderId="4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2" fillId="7" borderId="12" xfId="0" applyFont="1" applyFill="1" applyBorder="1" applyAlignment="1">
      <alignment horizontal="left" vertical="top"/>
    </xf>
    <xf numFmtId="0" fontId="2" fillId="7" borderId="6" xfId="0" applyFont="1" applyFill="1" applyBorder="1" applyAlignment="1">
      <alignment horizontal="left" vertical="top"/>
    </xf>
    <xf numFmtId="0" fontId="0" fillId="0" borderId="13" xfId="0" applyBorder="1" applyAlignment="1">
      <alignment horizontal="left" vertical="top" wrapText="1"/>
    </xf>
    <xf numFmtId="0" fontId="2" fillId="7" borderId="9" xfId="0" applyFont="1" applyFill="1" applyBorder="1" applyAlignment="1">
      <alignment horizontal="left" vertical="top"/>
    </xf>
  </cellXfs>
  <cellStyles count="2">
    <cellStyle name="Good" xfId="1" builtinId="26"/>
    <cellStyle name="Normal" xfId="0" builtinId="0"/>
  </cellStyles>
  <dxfs count="25"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rgb="FFFFFF99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alignment horizontal="general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66CCFF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FF99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66FF33"/>
        </patternFill>
      </fill>
    </dxf>
    <dxf>
      <fill>
        <patternFill>
          <bgColor rgb="FFFF0000"/>
        </patternFill>
      </fill>
    </dxf>
    <dxf>
      <font>
        <color theme="9" tint="0.59996337778862885"/>
      </font>
      <fill>
        <patternFill patternType="solid">
          <fgColor theme="9" tint="0.59996337778862885"/>
          <bgColor theme="9" tint="0.59996337778862885"/>
        </patternFill>
      </fill>
      <border>
        <left/>
        <right/>
        <top/>
        <bottom/>
      </border>
    </dxf>
    <dxf>
      <font>
        <color theme="9" tint="0.59996337778862885"/>
      </font>
      <fill>
        <patternFill patternType="solid">
          <bgColor theme="9" tint="0.59996337778862885"/>
        </patternFill>
      </fill>
    </dxf>
    <dxf>
      <font>
        <color theme="9" tint="0.59996337778862885"/>
      </font>
      <fill>
        <patternFill patternType="solid">
          <bgColor theme="9" tint="0.59996337778862885"/>
        </patternFill>
      </fill>
    </dxf>
    <dxf>
      <font>
        <color theme="9" tint="0.59996337778862885"/>
      </font>
      <fill>
        <patternFill patternType="solid">
          <bgColor theme="9" tint="0.59996337778862885"/>
        </patternFill>
      </fill>
      <border>
        <left/>
        <right/>
        <top/>
        <bottom/>
        <vertical/>
        <horizontal/>
      </border>
    </dxf>
    <dxf>
      <font>
        <color theme="9" tint="0.59996337778862885"/>
      </font>
      <fill>
        <patternFill>
          <fgColor auto="1"/>
          <bgColor theme="9" tint="0.59996337778862885"/>
        </patternFill>
      </fill>
      <border>
        <top style="thin">
          <color auto="1"/>
        </top>
        <vertical/>
        <horizontal/>
      </border>
    </dxf>
    <dxf>
      <font>
        <color auto="1"/>
      </font>
      <fill>
        <patternFill patternType="solid">
          <bgColor rgb="FFFFFF99"/>
        </patternFill>
      </fill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8</xdr:row>
      <xdr:rowOff>186764</xdr:rowOff>
    </xdr:from>
    <xdr:to>
      <xdr:col>8</xdr:col>
      <xdr:colOff>351118</xdr:colOff>
      <xdr:row>12</xdr:row>
      <xdr:rowOff>0</xdr:rowOff>
    </xdr:to>
    <xdr:sp macro="[0]!BulkEmail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/>
        </xdr:cNvSpPr>
      </xdr:nvSpPr>
      <xdr:spPr>
        <a:xfrm>
          <a:off x="4011706" y="1815352"/>
          <a:ext cx="1755588" cy="56029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Run </a:t>
          </a:r>
          <a:r>
            <a:rPr lang="en-GB" sz="1100" b="1" baseline="0"/>
            <a:t>Email Macro</a:t>
          </a:r>
          <a:endParaRPr lang="en-GB" sz="11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L2" totalsRowShown="0" headerRowDxfId="15" dataDxfId="13" headerRowBorderDxfId="14" tableBorderDxfId="12">
  <autoFilter ref="A1:L2" xr:uid="{00000000-0009-0000-0100-000001000000}"/>
  <tableColumns count="12">
    <tableColumn id="1" xr3:uid="{00000000-0010-0000-0000-000001000000}" name="Email" dataDxfId="11">
      <calculatedColumnFormula>ROW()-1</calculatedColumnFormula>
    </tableColumn>
    <tableColumn id="2" xr3:uid="{00000000-0010-0000-0000-000002000000}" name="Processed?" dataDxfId="10"/>
    <tableColumn id="3" xr3:uid="{00000000-0010-0000-0000-000003000000}" name="Recipient(s)" dataDxfId="9"/>
    <tableColumn id="4" xr3:uid="{00000000-0010-0000-0000-000004000000}" name="CC" dataDxfId="8"/>
    <tableColumn id="12" xr3:uid="{00000000-0010-0000-0000-00000C000000}" name="BCC" dataDxfId="7"/>
    <tableColumn id="5" xr3:uid="{00000000-0010-0000-0000-000005000000}" name="Subject" dataDxfId="6"/>
    <tableColumn id="6" xr3:uid="{00000000-0010-0000-0000-000006000000}" name="Email Body" dataDxfId="5"/>
    <tableColumn id="7" xr3:uid="{00000000-0010-0000-0000-000007000000}" name="Attachment 1 Link" dataDxfId="4"/>
    <tableColumn id="8" xr3:uid="{00000000-0010-0000-0000-000008000000}" name="Attachment 2 Link" dataDxfId="3"/>
    <tableColumn id="9" xr3:uid="{00000000-0010-0000-0000-000009000000}" name="Attachment 3 Link" dataDxfId="2"/>
    <tableColumn id="10" xr3:uid="{00000000-0010-0000-0000-00000A000000}" name="Attachment 4 Link" dataDxfId="1"/>
    <tableColumn id="11" xr3:uid="{00000000-0010-0000-0000-00000B000000}" name="Attachment 5 Link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15"/>
  <sheetViews>
    <sheetView showGridLines="0" tabSelected="1" zoomScale="85" zoomScaleNormal="85" workbookViewId="0"/>
  </sheetViews>
  <sheetFormatPr defaultColWidth="0" defaultRowHeight="14.5" zeroHeight="1" x14ac:dyDescent="0.35"/>
  <cols>
    <col min="1" max="1" width="2.7265625" customWidth="1"/>
    <col min="2" max="2" width="14.453125" customWidth="1"/>
    <col min="3" max="14" width="10.08984375" customWidth="1"/>
    <col min="15" max="16384" width="8.7265625" hidden="1"/>
  </cols>
  <sheetData>
    <row r="1" spans="1:14" ht="20" x14ac:dyDescent="0.4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</row>
    <row r="2" spans="1:14" x14ac:dyDescent="0.3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</row>
    <row r="3" spans="1:14" x14ac:dyDescent="0.35">
      <c r="A3" s="3" t="s">
        <v>1</v>
      </c>
      <c r="B3" s="2" t="s">
        <v>2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</row>
    <row r="4" spans="1:14" x14ac:dyDescent="0.35">
      <c r="A4" s="3" t="s">
        <v>3</v>
      </c>
      <c r="B4" s="2" t="s">
        <v>30</v>
      </c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</row>
    <row r="5" spans="1:14" x14ac:dyDescent="0.35">
      <c r="A5" s="3" t="s">
        <v>4</v>
      </c>
      <c r="B5" s="2" t="s">
        <v>5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</row>
    <row r="6" spans="1:14" x14ac:dyDescent="0.35">
      <c r="A6" s="3" t="s">
        <v>6</v>
      </c>
      <c r="B6" s="2" t="s">
        <v>33</v>
      </c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</row>
    <row r="7" spans="1:14" x14ac:dyDescent="0.35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</row>
    <row r="8" spans="1:14" ht="20" x14ac:dyDescent="0.4">
      <c r="A8" s="5" t="s">
        <v>7</v>
      </c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</row>
    <row r="9" spans="1:14" x14ac:dyDescent="0.3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</row>
    <row r="10" spans="1:14" x14ac:dyDescent="0.35">
      <c r="A10" s="7"/>
      <c r="B10" s="8" t="s">
        <v>8</v>
      </c>
      <c r="C10" s="25" t="s">
        <v>32</v>
      </c>
      <c r="D10" s="26"/>
      <c r="E10" s="27"/>
      <c r="F10" s="7"/>
      <c r="G10" s="7"/>
      <c r="H10" s="7"/>
      <c r="I10" s="7"/>
      <c r="J10" s="7"/>
      <c r="K10" s="7"/>
      <c r="L10" s="7"/>
      <c r="M10" s="7"/>
      <c r="N10" s="7"/>
    </row>
    <row r="11" spans="1:14" x14ac:dyDescent="0.3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</row>
    <row r="12" spans="1:14" x14ac:dyDescent="0.35">
      <c r="A12" s="7"/>
      <c r="B12" s="9" t="s">
        <v>9</v>
      </c>
      <c r="C12" s="25"/>
      <c r="D12" s="26"/>
      <c r="E12" s="27"/>
      <c r="F12" s="7"/>
      <c r="G12" s="7"/>
      <c r="H12" s="7"/>
      <c r="I12" s="7"/>
      <c r="J12" s="7"/>
      <c r="K12" s="7"/>
      <c r="L12" s="7"/>
      <c r="M12" s="7"/>
      <c r="N12" s="7"/>
    </row>
    <row r="13" spans="1:14" x14ac:dyDescent="0.35">
      <c r="A13" s="7"/>
      <c r="B13" s="9" t="s">
        <v>10</v>
      </c>
      <c r="C13" s="28"/>
      <c r="D13" s="29"/>
      <c r="E13" s="30"/>
      <c r="F13" s="7"/>
      <c r="G13" s="7"/>
      <c r="H13" s="7"/>
      <c r="I13" s="7"/>
      <c r="J13" s="7"/>
      <c r="K13" s="7"/>
      <c r="L13" s="7"/>
      <c r="M13" s="7"/>
      <c r="N13" s="7"/>
    </row>
    <row r="14" spans="1:14" x14ac:dyDescent="0.3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</row>
    <row r="15" spans="1:14" x14ac:dyDescent="0.3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</row>
  </sheetData>
  <mergeCells count="3">
    <mergeCell ref="C10:E10"/>
    <mergeCell ref="C12:E12"/>
    <mergeCell ref="C13:E13"/>
  </mergeCells>
  <conditionalFormatting sqref="C13:E13">
    <cfRule type="expression" dxfId="24" priority="1">
      <formula>$C$10="Send on behalf of shared mailbox"</formula>
    </cfRule>
    <cfRule type="expression" dxfId="23" priority="2">
      <formula>$C$10="Send from my account"</formula>
    </cfRule>
    <cfRule type="expression" dxfId="22" priority="3">
      <formula>$C$10&lt;&gt;"Send on behalf of shared mailbox"</formula>
    </cfRule>
  </conditionalFormatting>
  <conditionalFormatting sqref="B13">
    <cfRule type="expression" dxfId="21" priority="4">
      <formula>$C$10&lt;&gt;"Send on behalf of shared mailbox"</formula>
    </cfRule>
  </conditionalFormatting>
  <conditionalFormatting sqref="B12">
    <cfRule type="expression" dxfId="20" priority="5">
      <formula>$C$10&lt;&gt;"Send from my account"</formula>
    </cfRule>
  </conditionalFormatting>
  <conditionalFormatting sqref="C12:E12">
    <cfRule type="expression" dxfId="19" priority="6">
      <formula>$C$10&lt;&gt;"Send from my account"</formula>
    </cfRule>
  </conditionalFormatting>
  <dataValidations count="1">
    <dataValidation type="list" allowBlank="1" showInputMessage="1" showErrorMessage="1" sqref="C10:E10" xr:uid="{00000000-0002-0000-0000-000000000000}">
      <formula1>"Save to email drafts, Send from my account, Send on behalf of shared mailbox"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3"/>
  <sheetViews>
    <sheetView showGridLines="0" zoomScale="85" zoomScaleNormal="85" workbookViewId="0"/>
  </sheetViews>
  <sheetFormatPr defaultColWidth="0" defaultRowHeight="14.5" x14ac:dyDescent="0.35"/>
  <cols>
    <col min="1" max="1" width="8.7265625" customWidth="1"/>
    <col min="2" max="2" width="13.26953125" style="20" bestFit="1" customWidth="1"/>
    <col min="3" max="3" width="13.90625" style="19" bestFit="1" customWidth="1"/>
    <col min="4" max="6" width="12.6328125" customWidth="1"/>
    <col min="7" max="7" width="12.90625" bestFit="1" customWidth="1"/>
    <col min="8" max="12" width="19.26953125" bestFit="1" customWidth="1"/>
    <col min="13" max="14" width="8.7265625" customWidth="1"/>
    <col min="15" max="16384" width="8.7265625" hidden="1"/>
  </cols>
  <sheetData>
    <row r="1" spans="1:13" x14ac:dyDescent="0.35">
      <c r="A1" s="10" t="s">
        <v>11</v>
      </c>
      <c r="B1" s="11" t="s">
        <v>12</v>
      </c>
      <c r="C1" s="12" t="s">
        <v>13</v>
      </c>
      <c r="D1" s="13" t="s">
        <v>14</v>
      </c>
      <c r="E1" s="13" t="s">
        <v>15</v>
      </c>
      <c r="F1" s="13" t="s">
        <v>16</v>
      </c>
      <c r="G1" s="13" t="s">
        <v>17</v>
      </c>
      <c r="H1" s="13" t="s">
        <v>18</v>
      </c>
      <c r="I1" s="13" t="s">
        <v>19</v>
      </c>
      <c r="J1" s="13" t="s">
        <v>20</v>
      </c>
      <c r="K1" s="13" t="s">
        <v>21</v>
      </c>
      <c r="L1" s="13" t="s">
        <v>22</v>
      </c>
      <c r="M1" t="s">
        <v>23</v>
      </c>
    </row>
    <row r="2" spans="1:13" ht="14.4" customHeight="1" x14ac:dyDescent="0.35">
      <c r="A2" s="14">
        <f>ROW()-1</f>
        <v>1</v>
      </c>
      <c r="B2" s="15" t="s">
        <v>31</v>
      </c>
      <c r="C2" s="16"/>
      <c r="D2" s="17"/>
      <c r="E2" s="17"/>
      <c r="F2" s="17"/>
      <c r="G2" s="17"/>
      <c r="H2" s="17"/>
      <c r="I2" s="17"/>
      <c r="J2" s="17"/>
      <c r="K2" s="17"/>
      <c r="L2" s="17"/>
    </row>
    <row r="3" spans="1:13" ht="14.4" customHeight="1" x14ac:dyDescent="0.35">
      <c r="A3" s="17"/>
      <c r="B3" s="18"/>
    </row>
  </sheetData>
  <conditionalFormatting sqref="B2">
    <cfRule type="cellIs" dxfId="18" priority="2" operator="equal">
      <formula>"N"</formula>
    </cfRule>
    <cfRule type="cellIs" dxfId="17" priority="3" operator="equal">
      <formula>"Y"</formula>
    </cfRule>
  </conditionalFormatting>
  <conditionalFormatting sqref="C2:L1048576">
    <cfRule type="expression" dxfId="16" priority="1">
      <formula>$A2&lt;&gt;""</formula>
    </cfRule>
  </conditionalFormatting>
  <dataValidations count="1">
    <dataValidation type="list" allowBlank="1" showInputMessage="1" showErrorMessage="1" sqref="B2" xr:uid="{00000000-0002-0000-0100-000000000000}">
      <formula1>"Y,N"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31"/>
  <sheetViews>
    <sheetView showGridLines="0" zoomScale="85" zoomScaleNormal="85" workbookViewId="0"/>
  </sheetViews>
  <sheetFormatPr defaultColWidth="0" defaultRowHeight="14.5" zeroHeight="1" x14ac:dyDescent="0.35"/>
  <cols>
    <col min="1" max="1" width="12.1796875" bestFit="1" customWidth="1"/>
    <col min="2" max="2" width="165.7265625" customWidth="1"/>
    <col min="3" max="3" width="8.7265625" customWidth="1"/>
    <col min="4" max="16384" width="8.7265625" hidden="1"/>
  </cols>
  <sheetData>
    <row r="1" spans="1:2" x14ac:dyDescent="0.35">
      <c r="A1" s="21" t="s">
        <v>11</v>
      </c>
    </row>
    <row r="2" spans="1:2" x14ac:dyDescent="0.35">
      <c r="A2" s="22">
        <v>1</v>
      </c>
    </row>
    <row r="3" spans="1:2" x14ac:dyDescent="0.35"/>
    <row r="4" spans="1:2" x14ac:dyDescent="0.35">
      <c r="A4" s="31" t="s">
        <v>24</v>
      </c>
      <c r="B4" s="33">
        <f>INDEX(Data!$A:$L,MATCH($A$2,Data!$A:$A,0),3)</f>
        <v>0</v>
      </c>
    </row>
    <row r="5" spans="1:2" x14ac:dyDescent="0.35">
      <c r="A5" s="32"/>
      <c r="B5" s="33"/>
    </row>
    <row r="6" spans="1:2" x14ac:dyDescent="0.35"/>
    <row r="7" spans="1:2" x14ac:dyDescent="0.35">
      <c r="A7" s="23" t="s">
        <v>25</v>
      </c>
      <c r="B7" s="24" t="str">
        <f>IF(INDEX(Data!$A:$L,MATCH($A$2,Data!$A:$A,0),4)=0,"",INDEX(Data!$A:$L,MATCH($A$2,Data!$A:$A,0),4))</f>
        <v/>
      </c>
    </row>
    <row r="8" spans="1:2" x14ac:dyDescent="0.35"/>
    <row r="9" spans="1:2" x14ac:dyDescent="0.35">
      <c r="A9" s="23" t="s">
        <v>26</v>
      </c>
      <c r="B9">
        <f>INDEX(Data!$A:$L,MATCH($A$2,Data!$A:$A,0),5)</f>
        <v>0</v>
      </c>
    </row>
    <row r="10" spans="1:2" x14ac:dyDescent="0.35"/>
    <row r="11" spans="1:2" x14ac:dyDescent="0.35">
      <c r="A11" s="23" t="s">
        <v>27</v>
      </c>
      <c r="B11" s="24">
        <f>INDEX(Data!$A:$L,MATCH($A$2,Data!$A:$A,0),6)</f>
        <v>0</v>
      </c>
    </row>
    <row r="12" spans="1:2" x14ac:dyDescent="0.35"/>
    <row r="13" spans="1:2" x14ac:dyDescent="0.35">
      <c r="A13" s="23" t="s">
        <v>28</v>
      </c>
      <c r="B13" s="24" t="str">
        <f>IF(INDEX(Data!$A:$L,MATCH($A$2,Data!$A:$A,0),8)=0,"",INDEX(Data!$A:$L,MATCH($A$2,Data!$A:$A,0),8))</f>
        <v/>
      </c>
    </row>
    <row r="14" spans="1:2" x14ac:dyDescent="0.35">
      <c r="B14" s="24" t="str">
        <f>IF(INDEX(Data!$A:$L,MATCH($A$2,Data!$A:$A,0),9)=0,"",INDEX(Data!$A:$L,MATCH($A$2,Data!$A:$A,0),9))</f>
        <v/>
      </c>
    </row>
    <row r="15" spans="1:2" x14ac:dyDescent="0.35">
      <c r="B15" s="24" t="str">
        <f>IF(INDEX(Data!$A:$L,MATCH($A$2,Data!$A:$A,0),10)=0,"",INDEX(Data!$A:$L,MATCH($A$2,Data!$A:$A,0),10))</f>
        <v/>
      </c>
    </row>
    <row r="16" spans="1:2" x14ac:dyDescent="0.35">
      <c r="B16" s="24" t="str">
        <f>IF(INDEX(Data!$A:$L,MATCH($A$2,Data!$A:$A,0),11)=0,"",INDEX(Data!$A:$L,MATCH($A$2,Data!$A:$A,0),11))</f>
        <v/>
      </c>
    </row>
    <row r="17" spans="1:2" x14ac:dyDescent="0.35">
      <c r="B17" s="24" t="str">
        <f>IF(INDEX(Data!$A:$L,MATCH($A$2,Data!$A:$A,0),12)=0,"",INDEX(Data!$A:$L,MATCH($A$2,Data!$A:$A,0),12))</f>
        <v/>
      </c>
    </row>
    <row r="18" spans="1:2" x14ac:dyDescent="0.35"/>
    <row r="19" spans="1:2" ht="100" customHeight="1" x14ac:dyDescent="0.35">
      <c r="A19" s="34" t="s">
        <v>29</v>
      </c>
      <c r="B19" s="33">
        <f>INDEX(Data!$A:$L,MATCH($A$2,Data!$A:$A,0),7)</f>
        <v>0</v>
      </c>
    </row>
    <row r="20" spans="1:2" ht="100" customHeight="1" x14ac:dyDescent="0.35">
      <c r="A20" s="34"/>
      <c r="B20" s="33"/>
    </row>
    <row r="21" spans="1:2" ht="100" customHeight="1" x14ac:dyDescent="0.35">
      <c r="A21" s="34"/>
      <c r="B21" s="33"/>
    </row>
    <row r="22" spans="1:2" ht="100" customHeight="1" x14ac:dyDescent="0.35">
      <c r="A22" s="34"/>
      <c r="B22" s="33"/>
    </row>
    <row r="23" spans="1:2" ht="100" customHeight="1" x14ac:dyDescent="0.35">
      <c r="A23" s="34"/>
      <c r="B23" s="33"/>
    </row>
    <row r="24" spans="1:2" ht="100" customHeight="1" x14ac:dyDescent="0.35">
      <c r="A24" s="34"/>
      <c r="B24" s="33"/>
    </row>
    <row r="25" spans="1:2" ht="100" customHeight="1" x14ac:dyDescent="0.35">
      <c r="A25" s="34"/>
      <c r="B25" s="33"/>
    </row>
    <row r="26" spans="1:2" ht="100" customHeight="1" x14ac:dyDescent="0.35">
      <c r="A26" s="34"/>
      <c r="B26" s="33"/>
    </row>
    <row r="27" spans="1:2" ht="100" customHeight="1" x14ac:dyDescent="0.35">
      <c r="A27" s="34"/>
      <c r="B27" s="33"/>
    </row>
    <row r="28" spans="1:2" ht="100" customHeight="1" x14ac:dyDescent="0.35">
      <c r="A28" s="34"/>
      <c r="B28" s="33"/>
    </row>
    <row r="29" spans="1:2" x14ac:dyDescent="0.35"/>
    <row r="30" spans="1:2" x14ac:dyDescent="0.35"/>
    <row r="31" spans="1:2" x14ac:dyDescent="0.35"/>
  </sheetData>
  <mergeCells count="4">
    <mergeCell ref="A4:A5"/>
    <mergeCell ref="B4:B5"/>
    <mergeCell ref="A19:A28"/>
    <mergeCell ref="B19:B28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Control</vt:lpstr>
      <vt:lpstr>Data</vt:lpstr>
      <vt:lpstr>Preview</vt:lpstr>
      <vt:lpstr>Email_Account</vt:lpstr>
      <vt:lpstr>MacroOption</vt:lpstr>
      <vt:lpstr>Shared_MailBox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Matthew Pinkerton</cp:lastModifiedBy>
  <dcterms:created xsi:type="dcterms:W3CDTF">2022-05-10T02:00:51Z</dcterms:created>
  <dcterms:modified xsi:type="dcterms:W3CDTF">2022-05-10T02:01:05Z</dcterms:modified>
</cp:coreProperties>
</file>